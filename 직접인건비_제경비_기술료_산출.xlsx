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가산출" sheetId="1" state="visible" r:id="rId1"/>
    <sheet name="요율시나리오" sheetId="2" state="visible" r:id="rId2"/>
    <sheet name="추천안_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F3E17"/>
      </patternFill>
    </fill>
    <fill>
      <patternFill patternType="solid">
        <fgColor rgb="00CFE7D3"/>
      </patternFill>
    </fill>
    <fill>
      <patternFill patternType="solid">
        <fgColor rgb="00E1F4DF"/>
      </patternFill>
    </fill>
    <fill>
      <patternFill patternType="solid">
        <fgColor rgb="00B6CE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0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0" fontId="3" fillId="5" borderId="1" pivotButton="0" quotePrefix="0" xfId="0"/>
    <xf numFmtId="3" fontId="3" fillId="5" borderId="1" pivotButton="0" quotePrefix="0" xfId="0"/>
    <xf numFmtId="3" fontId="0" fillId="6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1" fillId="2" borderId="0" pivotButton="0" quotePrefix="0" xfId="0"/>
    <xf numFmtId="1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8" customWidth="1" min="4" max="4"/>
    <col width="12" customWidth="1" min="5" max="5"/>
    <col width="18" customWidth="1" min="6" max="6"/>
  </cols>
  <sheetData>
    <row r="2" ht="28" customHeight="1">
      <c r="B2" s="1" t="inlineStr">
        <is>
          <t>직접인건비 + 제경비 + 기술료 역산 산출서</t>
        </is>
      </c>
    </row>
    <row r="3">
      <c r="B3" s="2" t="inlineStr">
        <is>
          <t>목표합계 235,950,000원 (입력 표기 235,950,00은 235,950,000으로 해석)</t>
        </is>
      </c>
    </row>
    <row r="5">
      <c r="B5" s="3" t="inlineStr">
        <is>
          <t>【 방정식 】</t>
        </is>
      </c>
    </row>
    <row r="6" ht="18" customHeight="1">
      <c r="B6" s="4" t="inlineStr">
        <is>
          <t>D = 직접인건비
제경비 = D × α    (α = 110%~120% → 1.10~1.20)
기술료 = (D + 제경비) × β = D(1+α)×β    (β = 20%~40% → 0.20~0.40)
합계 S = D + Dα + D(1+α)β = D(1+α)(1+β)
∴  D = S / ((1+α)(1+β))</t>
        </is>
      </c>
    </row>
    <row r="7" ht="18" customHeight="1"/>
    <row r="8" ht="18" customHeight="1"/>
    <row r="9" ht="18" customHeight="1"/>
    <row r="10" ht="18" customHeight="1"/>
    <row r="12">
      <c r="B12" s="3" t="inlineStr">
        <is>
          <t>【 입력 (연두칸 수정 가능) 】</t>
        </is>
      </c>
    </row>
    <row r="13">
      <c r="B13" s="5" t="inlineStr">
        <is>
          <t>항목</t>
        </is>
      </c>
      <c r="C13" s="5" t="inlineStr">
        <is>
          <t>값</t>
        </is>
      </c>
      <c r="D13" s="5" t="inlineStr">
        <is>
          <t>비고</t>
        </is>
      </c>
    </row>
    <row r="14">
      <c r="B14" s="6" t="inlineStr">
        <is>
          <t>목표 합계 S (원)</t>
        </is>
      </c>
      <c r="C14" s="7" t="n">
        <v>235950000</v>
      </c>
      <c r="D14" s="6" t="inlineStr">
        <is>
          <t>합계가 이 금액이 되도록 역산</t>
        </is>
      </c>
    </row>
    <row r="15">
      <c r="B15" s="6" t="inlineStr">
        <is>
          <t>제경비율 α</t>
        </is>
      </c>
      <c r="C15" s="8" t="n">
        <v>1.15</v>
      </c>
      <c r="D15" s="6" t="inlineStr">
        <is>
          <t>허용범위 110%~120% (기본 115%)</t>
        </is>
      </c>
    </row>
    <row r="16">
      <c r="B16" s="6" t="inlineStr">
        <is>
          <t>기술료율 β</t>
        </is>
      </c>
      <c r="C16" s="8" t="n">
        <v>0.3</v>
      </c>
      <c r="D16" s="6" t="inlineStr">
        <is>
          <t>허용범위 20%~40% (기본 30%)</t>
        </is>
      </c>
    </row>
    <row r="17">
      <c r="B17" s="6" t="inlineStr">
        <is>
          <t>α 범위 체크</t>
        </is>
      </c>
      <c r="C17" s="6">
        <f>IF(AND(C15&gt;=1.1,C15&lt;=1.2),"OK","범위 이탈")</f>
        <v/>
      </c>
      <c r="D17" s="6" t="n"/>
    </row>
    <row r="18">
      <c r="B18" s="6" t="inlineStr">
        <is>
          <t>β 범위 체크</t>
        </is>
      </c>
      <c r="C18" s="6">
        <f>IF(AND(C16&gt;=0.2,C16&lt;=0.4),"OK","범위 이탈")</f>
        <v/>
      </c>
      <c r="D18" s="6" t="n"/>
    </row>
    <row r="20">
      <c r="B20" s="3" t="inlineStr">
        <is>
          <t>【 산출 결과 (엑셀 수식) 】</t>
        </is>
      </c>
    </row>
    <row r="21">
      <c r="B21" s="5" t="inlineStr">
        <is>
          <t>항목</t>
        </is>
      </c>
      <c r="C21" s="5" t="inlineStr">
        <is>
          <t>산식</t>
        </is>
      </c>
      <c r="D21" s="5" t="inlineStr">
        <is>
          <t>금액 (원)</t>
        </is>
      </c>
      <c r="E21" s="5" t="inlineStr">
        <is>
          <t>구성비</t>
        </is>
      </c>
    </row>
    <row r="22">
      <c r="B22" s="9" t="inlineStr">
        <is>
          <t>① 직접인건비 D</t>
        </is>
      </c>
      <c r="C22" s="9" t="inlineStr">
        <is>
          <t>S / ((1+α)(1+β))</t>
        </is>
      </c>
      <c r="D22" s="10">
        <f>C14/((1+C15)*(1+C16))</f>
        <v/>
      </c>
      <c r="E22" s="11">
        <f>D22/$D$25</f>
        <v/>
      </c>
    </row>
    <row r="23">
      <c r="B23" s="9" t="inlineStr">
        <is>
          <t>② 제경비</t>
        </is>
      </c>
      <c r="C23" s="9" t="inlineStr">
        <is>
          <t>D × α</t>
        </is>
      </c>
      <c r="D23" s="10">
        <f>D22*C15</f>
        <v/>
      </c>
      <c r="E23" s="11">
        <f>D23/$D$25</f>
        <v/>
      </c>
    </row>
    <row r="24">
      <c r="B24" s="9" t="inlineStr">
        <is>
          <t>③ 기술료</t>
        </is>
      </c>
      <c r="C24" s="9" t="inlineStr">
        <is>
          <t>(D+제경비) × β</t>
        </is>
      </c>
      <c r="D24" s="10">
        <f>(D22+D23)*C16</f>
        <v/>
      </c>
      <c r="E24" s="11">
        <f>D24/$D$25</f>
        <v/>
      </c>
    </row>
    <row r="25">
      <c r="B25" s="12" t="inlineStr">
        <is>
          <t>합계 S</t>
        </is>
      </c>
      <c r="C25" s="9" t="inlineStr">
        <is>
          <t>①+②+③</t>
        </is>
      </c>
      <c r="D25" s="13">
        <f>D22+D23+D24</f>
        <v/>
      </c>
      <c r="E25" s="11">
        <f>E22+E23+E24</f>
        <v/>
      </c>
    </row>
    <row r="27">
      <c r="B27" t="inlineStr">
        <is>
          <t>검산: 합계 − 목표</t>
        </is>
      </c>
      <c r="C27" s="14">
        <f>D25-C14</f>
        <v/>
      </c>
      <c r="D27">
        <f>IF(ABS(C27)&lt;1,"일치","차이 있음")</f>
        <v/>
      </c>
    </row>
    <row r="29">
      <c r="B29" s="3" t="inlineStr">
        <is>
          <t>【 추천 기본안 (중간요율 α=115%, β=30%) — 정수 원 단위 】</t>
        </is>
      </c>
    </row>
    <row r="30">
      <c r="B30" s="6" t="inlineStr">
        <is>
          <t>직접인건비</t>
        </is>
      </c>
      <c r="C30" s="15" t="n">
        <v>84418605</v>
      </c>
    </row>
    <row r="31">
      <c r="B31" s="6" t="inlineStr">
        <is>
          <t>제경비 (115%)</t>
        </is>
      </c>
      <c r="C31" s="15" t="n">
        <v>97081395</v>
      </c>
    </row>
    <row r="32">
      <c r="B32" s="6" t="inlineStr">
        <is>
          <t>기술료 (30%)</t>
        </is>
      </c>
      <c r="C32" s="15" t="n">
        <v>54450000</v>
      </c>
    </row>
    <row r="33">
      <c r="B33" s="6" t="inlineStr">
        <is>
          <t>합계</t>
        </is>
      </c>
      <c r="C33" s="16">
        <f>C30+C31+C32</f>
        <v/>
      </c>
    </row>
  </sheetData>
  <mergeCells count="3">
    <mergeCell ref="B2:F2"/>
    <mergeCell ref="B3:F3"/>
    <mergeCell ref="B6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2">
      <c r="B2" s="17" t="inlineStr">
        <is>
          <t>α·β 조합별 직접인건비 역산표 (합계 고정 235,950,000원)</t>
        </is>
      </c>
    </row>
    <row r="3">
      <c r="B3" s="5" t="inlineStr">
        <is>
          <t>시나리오</t>
        </is>
      </c>
      <c r="C3" s="5" t="inlineStr">
        <is>
          <t>제경비율 α</t>
        </is>
      </c>
      <c r="D3" s="5" t="inlineStr">
        <is>
          <t>기술료율 β</t>
        </is>
      </c>
      <c r="E3" s="5" t="inlineStr">
        <is>
          <t>직접인건비 D</t>
        </is>
      </c>
      <c r="F3" s="5" t="inlineStr">
        <is>
          <t>제경비</t>
        </is>
      </c>
      <c r="G3" s="5" t="inlineStr">
        <is>
          <t>기술료</t>
        </is>
      </c>
      <c r="H3" s="5" t="inlineStr">
        <is>
          <t>합계</t>
        </is>
      </c>
    </row>
    <row r="4">
      <c r="B4" s="6" t="inlineStr">
        <is>
          <t>최소요율</t>
        </is>
      </c>
      <c r="C4" s="18" t="n">
        <v>1.1</v>
      </c>
      <c r="D4" s="18" t="n">
        <v>0.2</v>
      </c>
      <c r="E4" s="15" t="n">
        <v>93630952</v>
      </c>
      <c r="F4" s="15" t="n">
        <v>102994048</v>
      </c>
      <c r="G4" s="15" t="n">
        <v>39325000</v>
      </c>
      <c r="H4" s="15" t="n">
        <v>235950000</v>
      </c>
    </row>
    <row r="5">
      <c r="B5" s="6" t="inlineStr">
        <is>
          <t>제경비↓ 기술료 중간</t>
        </is>
      </c>
      <c r="C5" s="18" t="n">
        <v>1.1</v>
      </c>
      <c r="D5" s="18" t="n">
        <v>0.3</v>
      </c>
      <c r="E5" s="15" t="n">
        <v>86428571</v>
      </c>
      <c r="F5" s="15" t="n">
        <v>95071429</v>
      </c>
      <c r="G5" s="15" t="n">
        <v>54450000</v>
      </c>
      <c r="H5" s="15" t="n">
        <v>235950000</v>
      </c>
    </row>
    <row r="6">
      <c r="B6" s="6" t="inlineStr">
        <is>
          <t>제경비↓ 기술료 최대</t>
        </is>
      </c>
      <c r="C6" s="18" t="n">
        <v>1.1</v>
      </c>
      <c r="D6" s="18" t="n">
        <v>0.4</v>
      </c>
      <c r="E6" s="15" t="n">
        <v>80255102</v>
      </c>
      <c r="F6" s="15" t="n">
        <v>88280612</v>
      </c>
      <c r="G6" s="15" t="n">
        <v>67414286</v>
      </c>
      <c r="H6" s="15" t="n">
        <v>235950000</v>
      </c>
    </row>
    <row r="7">
      <c r="B7" s="19" t="inlineStr">
        <is>
          <t>중간요율 (추천)</t>
        </is>
      </c>
      <c r="C7" s="8" t="n">
        <v>1.15</v>
      </c>
      <c r="D7" s="8" t="n">
        <v>0.3</v>
      </c>
      <c r="E7" s="7" t="n">
        <v>84418605</v>
      </c>
      <c r="F7" s="7" t="n">
        <v>97081395</v>
      </c>
      <c r="G7" s="7" t="n">
        <v>54450000</v>
      </c>
      <c r="H7" s="7" t="n">
        <v>235950000</v>
      </c>
    </row>
    <row r="8">
      <c r="B8" s="6" t="inlineStr">
        <is>
          <t>제경비 중간 기술료 최대</t>
        </is>
      </c>
      <c r="C8" s="18" t="n">
        <v>1.15</v>
      </c>
      <c r="D8" s="18" t="n">
        <v>0.4</v>
      </c>
      <c r="E8" s="15" t="n">
        <v>78388704</v>
      </c>
      <c r="F8" s="15" t="n">
        <v>90147010</v>
      </c>
      <c r="G8" s="15" t="n">
        <v>67414286</v>
      </c>
      <c r="H8" s="15" t="n">
        <v>235950000</v>
      </c>
    </row>
    <row r="9">
      <c r="B9" s="6" t="inlineStr">
        <is>
          <t>제경비 최대 기술료 최소</t>
        </is>
      </c>
      <c r="C9" s="18" t="n">
        <v>1.2</v>
      </c>
      <c r="D9" s="18" t="n">
        <v>0.2</v>
      </c>
      <c r="E9" s="15" t="n">
        <v>89375000</v>
      </c>
      <c r="F9" s="15" t="n">
        <v>107250000</v>
      </c>
      <c r="G9" s="15" t="n">
        <v>39325000</v>
      </c>
      <c r="H9" s="15" t="n">
        <v>235950000</v>
      </c>
    </row>
    <row r="10">
      <c r="B10" s="6" t="inlineStr">
        <is>
          <t>제경비↑ 기술료 중간</t>
        </is>
      </c>
      <c r="C10" s="18" t="n">
        <v>1.2</v>
      </c>
      <c r="D10" s="18" t="n">
        <v>0.3</v>
      </c>
      <c r="E10" s="15" t="n">
        <v>82500000</v>
      </c>
      <c r="F10" s="15" t="n">
        <v>99000000</v>
      </c>
      <c r="G10" s="15" t="n">
        <v>54450000</v>
      </c>
      <c r="H10" s="15" t="n">
        <v>235950000</v>
      </c>
    </row>
    <row r="11">
      <c r="B11" s="6" t="inlineStr">
        <is>
          <t>최대요율</t>
        </is>
      </c>
      <c r="C11" s="18" t="n">
        <v>1.2</v>
      </c>
      <c r="D11" s="18" t="n">
        <v>0.4</v>
      </c>
      <c r="E11" s="15" t="n">
        <v>76607143</v>
      </c>
      <c r="F11" s="15" t="n">
        <v>91928571</v>
      </c>
      <c r="G11" s="15" t="n">
        <v>67414286</v>
      </c>
      <c r="H11" s="15" t="n">
        <v>235950000</v>
      </c>
    </row>
    <row r="13">
      <c r="B13" s="2" t="inlineStr">
        <is>
          <t>참고: 합계를 고정하면 요율(α, β)이 커질수록 직접인건비 D는 작아집니다.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40" customWidth="1" min="4" max="4"/>
  </cols>
  <sheetData>
    <row r="2">
      <c r="B2" s="17" t="inlineStr">
        <is>
          <t>추천안 상세 (α=115%, β=30%)</t>
        </is>
      </c>
    </row>
    <row r="4">
      <c r="B4" s="5" t="inlineStr">
        <is>
          <t>구분</t>
        </is>
      </c>
      <c r="C4" s="5" t="inlineStr">
        <is>
          <t>금액(원)</t>
        </is>
      </c>
      <c r="D4" s="5" t="inlineStr">
        <is>
          <t>산출근거</t>
        </is>
      </c>
    </row>
    <row r="5">
      <c r="B5" s="6" t="inlineStr">
        <is>
          <t>직접인건비</t>
        </is>
      </c>
      <c r="C5" s="15" t="n">
        <v>84418605</v>
      </c>
      <c r="D5" s="6" t="inlineStr">
        <is>
          <t>S / ((1+α)(1+β))</t>
        </is>
      </c>
    </row>
    <row r="6">
      <c r="B6" s="6" t="inlineStr">
        <is>
          <t>제경비</t>
        </is>
      </c>
      <c r="C6" s="15" t="n">
        <v>97081395</v>
      </c>
      <c r="D6" s="6" t="inlineStr">
        <is>
          <t>직접인건비 × 115%</t>
        </is>
      </c>
    </row>
    <row r="7">
      <c r="B7" s="6" t="inlineStr">
        <is>
          <t>기술료</t>
        </is>
      </c>
      <c r="C7" s="15" t="n">
        <v>54450000</v>
      </c>
      <c r="D7" s="6" t="inlineStr">
        <is>
          <t>(직접인건비+제경비) × 30%</t>
        </is>
      </c>
    </row>
    <row r="8">
      <c r="B8" s="12" t="inlineStr">
        <is>
          <t>합계</t>
        </is>
      </c>
      <c r="C8" s="13" t="n">
        <v>235950000</v>
      </c>
      <c r="D8" s="12" t="inlineStr">
        <is>
          <t>목표금액</t>
        </is>
      </c>
    </row>
    <row r="10">
      <c r="B10" t="inlineStr">
        <is>
          <t>검산식</t>
        </is>
      </c>
    </row>
    <row r="11">
      <c r="B11" t="inlineStr">
        <is>
          <t>84,418,605 + 97,081,395 + 54,450,000 = 235,950,000</t>
        </is>
      </c>
    </row>
    <row r="12">
      <c r="B12" t="inlineStr">
        <is>
          <t>확인: D(1+α)(1+β) = 84,418,604.6512 × 2.15 × 1.30 = 235,950,000</t>
        </is>
      </c>
    </row>
    <row r="14">
      <c r="B14" t="inlineStr">
        <is>
          <t>방정식 요약</t>
        </is>
      </c>
    </row>
    <row r="15">
      <c r="B15" t="inlineStr">
        <is>
          <t>S = D(1+α)(1+β) = 235,950,000</t>
        </is>
      </c>
    </row>
    <row r="16">
      <c r="B16" t="inlineStr">
        <is>
          <t>D = 235,950,000 / ((1+1.15)(1+0.30)) = 235,950,000 / 2.795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2026-07-28T13:07:33Z</dcterms:created>
  <dcterms:modified xsi:type="dcterms:W3CDTF">2026-07-28T13:07:33Z</dcterms:modified>
</cp:coreProperties>
</file>