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30" yWindow="580" windowWidth="27760" windowHeight="11040"/>
  </bookViews>
  <sheets>
    <sheet name="대가산출" sheetId="1" r:id="rId1"/>
    <sheet name="요율시나리오" sheetId="2" r:id="rId2"/>
    <sheet name="추천안_상세" sheetId="3" r:id="rId3"/>
  </sheets>
  <calcPr calcId="145621"/>
</workbook>
</file>

<file path=xl/calcChain.xml><?xml version="1.0" encoding="utf-8"?>
<calcChain xmlns="http://schemas.openxmlformats.org/spreadsheetml/2006/main">
  <c r="D22" i="1" l="1"/>
  <c r="C30" i="1" s="1"/>
  <c r="C18" i="1"/>
  <c r="C17" i="1"/>
  <c r="D23" i="1" l="1"/>
  <c r="C31" i="1" s="1"/>
  <c r="D24" i="1" l="1"/>
  <c r="C32" i="1" s="1"/>
  <c r="C33" i="1" s="1"/>
  <c r="D25" i="1" l="1"/>
  <c r="C27" i="1"/>
  <c r="D27" i="1" s="1"/>
  <c r="E22" i="1"/>
  <c r="E23" i="1"/>
  <c r="E24" i="1"/>
  <c r="E25" i="1" l="1"/>
</calcChain>
</file>

<file path=xl/sharedStrings.xml><?xml version="1.0" encoding="utf-8"?>
<sst xmlns="http://schemas.openxmlformats.org/spreadsheetml/2006/main" count="70" uniqueCount="61">
  <si>
    <t>직접인건비 + 제경비 + 기술료 역산 산출서</t>
  </si>
  <si>
    <t>【 방정식 】</t>
  </si>
  <si>
    <t>D = 직접인건비
제경비 = D × α    (α = 110%~120% → 1.10~1.20)
기술료 = (D + 제경비) × β = D(1+α)×β    (β = 20%~40% → 0.20~0.40)
합계 S = D + Dα + D(1+α)β = D(1+α)(1+β)
∴  D = S / ((1+α)(1+β))</t>
  </si>
  <si>
    <t>【 입력 (연두칸 수정 가능) 】</t>
  </si>
  <si>
    <t>항목</t>
  </si>
  <si>
    <t>값</t>
  </si>
  <si>
    <t>비고</t>
  </si>
  <si>
    <t>목표 합계 S (원)</t>
  </si>
  <si>
    <t>합계가 이 금액이 되도록 역산</t>
  </si>
  <si>
    <t>제경비율 α</t>
  </si>
  <si>
    <t>허용범위 110%~120% (기본 115%)</t>
  </si>
  <si>
    <t>기술료율 β</t>
  </si>
  <si>
    <t>허용범위 20%~40% (기본 30%)</t>
  </si>
  <si>
    <t>α 범위 체크</t>
  </si>
  <si>
    <t>β 범위 체크</t>
  </si>
  <si>
    <t>【 산출 결과 (엑셀 수식) 】</t>
  </si>
  <si>
    <t>산식</t>
  </si>
  <si>
    <t>금액 (원)</t>
  </si>
  <si>
    <t>구성비</t>
  </si>
  <si>
    <t>① 직접인건비 D</t>
  </si>
  <si>
    <t>S / ((1+α)(1+β))</t>
  </si>
  <si>
    <t>② 제경비</t>
  </si>
  <si>
    <t>D × α</t>
  </si>
  <si>
    <t>③ 기술료</t>
  </si>
  <si>
    <t>(D+제경비) × β</t>
  </si>
  <si>
    <t>합계 S</t>
  </si>
  <si>
    <t>①+②+③</t>
  </si>
  <si>
    <t>검산: 합계 − 목표</t>
  </si>
  <si>
    <t>【 추천 기본안 (중간요율 α=115%, β=30%) — 정수 원 단위 】</t>
  </si>
  <si>
    <t>직접인건비</t>
  </si>
  <si>
    <t>제경비 (115%)</t>
  </si>
  <si>
    <t>기술료 (30%)</t>
  </si>
  <si>
    <t>합계</t>
  </si>
  <si>
    <t>α·β 조합별 직접인건비 역산표 (합계 고정 235,950,000원)</t>
  </si>
  <si>
    <t>시나리오</t>
  </si>
  <si>
    <t>직접인건비 D</t>
  </si>
  <si>
    <t>제경비</t>
  </si>
  <si>
    <t>기술료</t>
  </si>
  <si>
    <t>최소요율</t>
  </si>
  <si>
    <t>제경비↓ 기술료 중간</t>
  </si>
  <si>
    <t>제경비↓ 기술료 최대</t>
  </si>
  <si>
    <t>중간요율 (추천)</t>
  </si>
  <si>
    <t>제경비 중간 기술료 최대</t>
  </si>
  <si>
    <t>제경비 최대 기술료 최소</t>
  </si>
  <si>
    <t>제경비↑ 기술료 중간</t>
  </si>
  <si>
    <t>최대요율</t>
  </si>
  <si>
    <t>참고: 합계를 고정하면 요율(α, β)이 커질수록 직접인건비 D는 작아집니다.</t>
  </si>
  <si>
    <t>추천안 상세 (α=115%, β=30%)</t>
  </si>
  <si>
    <t>구분</t>
  </si>
  <si>
    <t>금액(원)</t>
  </si>
  <si>
    <t>산출근거</t>
  </si>
  <si>
    <t>직접인건비 × 115%</t>
  </si>
  <si>
    <t>(직접인건비+제경비) × 30%</t>
  </si>
  <si>
    <t>목표금액</t>
  </si>
  <si>
    <t>검산식</t>
  </si>
  <si>
    <t>84,418,605 + 97,081,395 + 54,450,000 = 235,950,000</t>
  </si>
  <si>
    <t>확인: D(1+α)(1+β) = 84,418,604.6512 × 2.15 × 1.30 = 235,950,000</t>
  </si>
  <si>
    <t>방정식 요약</t>
  </si>
  <si>
    <t>S = D(1+α)(1+β) = 235,950,000</t>
  </si>
  <si>
    <t>D = 235,950,000 / ((1+1.15)(1+0.30)) = 235,950,000 / 2.795</t>
  </si>
  <si>
    <t xml:space="preserve">목표합계 235,950,000원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</si>
</sst>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color rgb="FF666666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3E17"/>
      </patternFill>
    </fill>
    <fill>
      <patternFill patternType="solid">
        <fgColor rgb="FFCFE7D3"/>
      </patternFill>
    </fill>
    <fill>
      <patternFill patternType="solid">
        <fgColor rgb="FFE1F4DF"/>
      </patternFill>
    </fill>
    <fill>
      <patternFill patternType="solid">
        <fgColor rgb="FFB6CED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10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10" fontId="0" fillId="5" borderId="1" xfId="0" applyNumberFormat="1" applyFill="1" applyBorder="1"/>
    <xf numFmtId="0" fontId="3" fillId="5" borderId="1" xfId="0" applyFont="1" applyFill="1" applyBorder="1"/>
    <xf numFmtId="3" fontId="3" fillId="5" borderId="1" xfId="0" applyNumberFormat="1" applyFont="1" applyFill="1" applyBorder="1"/>
    <xf numFmtId="3" fontId="0" fillId="6" borderId="0" xfId="0" applyNumberFormat="1" applyFill="1"/>
    <xf numFmtId="3" fontId="0" fillId="0" borderId="1" xfId="0" applyNumberFormat="1" applyBorder="1"/>
    <xf numFmtId="3" fontId="3" fillId="0" borderId="1" xfId="0" applyNumberFormat="1" applyFont="1" applyBorder="1"/>
    <xf numFmtId="10" fontId="0" fillId="0" borderId="1" xfId="0" applyNumberFormat="1" applyBorder="1"/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tabSelected="1" topLeftCell="A10" workbookViewId="0">
      <selection activeCell="Q20" sqref="Q20"/>
    </sheetView>
  </sheetViews>
  <sheetFormatPr defaultRowHeight="17"/>
  <cols>
    <col min="1" max="1" width="3" customWidth="1"/>
    <col min="2" max="3" width="28" customWidth="1"/>
    <col min="4" max="4" width="18" customWidth="1"/>
    <col min="5" max="5" width="12" customWidth="1"/>
    <col min="6" max="6" width="18" customWidth="1"/>
  </cols>
  <sheetData>
    <row r="2" spans="2:6" ht="28" customHeight="1">
      <c r="B2" s="17" t="s">
        <v>0</v>
      </c>
      <c r="C2" s="18"/>
      <c r="D2" s="18"/>
      <c r="E2" s="18"/>
      <c r="F2" s="18"/>
    </row>
    <row r="3" spans="2:6">
      <c r="B3" s="19" t="s">
        <v>60</v>
      </c>
      <c r="C3" s="18"/>
      <c r="D3" s="18"/>
      <c r="E3" s="18"/>
      <c r="F3" s="18"/>
    </row>
    <row r="5" spans="2:6">
      <c r="B5" s="2" t="s">
        <v>1</v>
      </c>
    </row>
    <row r="6" spans="2:6" ht="18" customHeight="1">
      <c r="B6" s="20" t="s">
        <v>2</v>
      </c>
      <c r="C6" s="18"/>
      <c r="D6" s="18"/>
      <c r="E6" s="18"/>
      <c r="F6" s="18"/>
    </row>
    <row r="7" spans="2:6" ht="18" customHeight="1">
      <c r="B7" s="18"/>
      <c r="C7" s="18"/>
      <c r="D7" s="18"/>
      <c r="E7" s="18"/>
      <c r="F7" s="18"/>
    </row>
    <row r="8" spans="2:6" ht="18" customHeight="1">
      <c r="B8" s="18"/>
      <c r="C8" s="18"/>
      <c r="D8" s="18"/>
      <c r="E8" s="18"/>
      <c r="F8" s="18"/>
    </row>
    <row r="9" spans="2:6" ht="18" customHeight="1">
      <c r="B9" s="18"/>
      <c r="C9" s="18"/>
      <c r="D9" s="18"/>
      <c r="E9" s="18"/>
      <c r="F9" s="18"/>
    </row>
    <row r="10" spans="2:6" ht="18" customHeight="1">
      <c r="B10" s="18"/>
      <c r="C10" s="18"/>
      <c r="D10" s="18"/>
      <c r="E10" s="18"/>
      <c r="F10" s="18"/>
    </row>
    <row r="12" spans="2:6">
      <c r="B12" s="2" t="s">
        <v>3</v>
      </c>
    </row>
    <row r="13" spans="2:6">
      <c r="B13" s="3" t="s">
        <v>4</v>
      </c>
      <c r="C13" s="3" t="s">
        <v>5</v>
      </c>
      <c r="D13" s="3" t="s">
        <v>6</v>
      </c>
    </row>
    <row r="14" spans="2:6">
      <c r="B14" s="4" t="s">
        <v>7</v>
      </c>
      <c r="C14" s="5">
        <v>235950000</v>
      </c>
      <c r="D14" s="4" t="s">
        <v>8</v>
      </c>
    </row>
    <row r="15" spans="2:6">
      <c r="B15" s="4" t="s">
        <v>9</v>
      </c>
      <c r="C15" s="6">
        <v>1</v>
      </c>
      <c r="D15" s="4" t="s">
        <v>10</v>
      </c>
    </row>
    <row r="16" spans="2:6">
      <c r="B16" s="4" t="s">
        <v>11</v>
      </c>
      <c r="C16" s="6">
        <v>0.4</v>
      </c>
      <c r="D16" s="4" t="s">
        <v>12</v>
      </c>
    </row>
    <row r="17" spans="2:5">
      <c r="B17" s="4" t="s">
        <v>13</v>
      </c>
      <c r="C17" s="4" t="str">
        <f>IF(AND(C15&gt;=1.1,C15&lt;=1.2),"OK","범위 이탈")</f>
        <v>범위 이탈</v>
      </c>
      <c r="D17" s="4"/>
    </row>
    <row r="18" spans="2:5">
      <c r="B18" s="4" t="s">
        <v>14</v>
      </c>
      <c r="C18" s="4" t="str">
        <f>IF(AND(C16&gt;=0.2,C16&lt;=0.4),"OK","범위 이탈")</f>
        <v>OK</v>
      </c>
      <c r="D18" s="4"/>
    </row>
    <row r="20" spans="2:5">
      <c r="B20" s="2" t="s">
        <v>15</v>
      </c>
    </row>
    <row r="21" spans="2:5">
      <c r="B21" s="3" t="s">
        <v>4</v>
      </c>
      <c r="C21" s="3" t="s">
        <v>16</v>
      </c>
      <c r="D21" s="3" t="s">
        <v>17</v>
      </c>
      <c r="E21" s="3" t="s">
        <v>18</v>
      </c>
    </row>
    <row r="22" spans="2:5">
      <c r="B22" s="7" t="s">
        <v>19</v>
      </c>
      <c r="C22" s="7" t="s">
        <v>20</v>
      </c>
      <c r="D22" s="8">
        <f>C14/((1+C15)*(1+C16))</f>
        <v>84267857.142857149</v>
      </c>
      <c r="E22" s="9">
        <f>D22/$D$25</f>
        <v>0.35714285714285715</v>
      </c>
    </row>
    <row r="23" spans="2:5">
      <c r="B23" s="7" t="s">
        <v>21</v>
      </c>
      <c r="C23" s="7" t="s">
        <v>22</v>
      </c>
      <c r="D23" s="8">
        <f>D22*C15</f>
        <v>84267857.142857149</v>
      </c>
      <c r="E23" s="9">
        <f>D23/$D$25</f>
        <v>0.35714285714285715</v>
      </c>
    </row>
    <row r="24" spans="2:5">
      <c r="B24" s="7" t="s">
        <v>23</v>
      </c>
      <c r="C24" s="7" t="s">
        <v>24</v>
      </c>
      <c r="D24" s="8">
        <f>(D22+D23)*C16</f>
        <v>67414285.714285716</v>
      </c>
      <c r="E24" s="9">
        <f>D24/$D$25</f>
        <v>0.2857142857142857</v>
      </c>
    </row>
    <row r="25" spans="2:5">
      <c r="B25" s="10" t="s">
        <v>25</v>
      </c>
      <c r="C25" s="7" t="s">
        <v>26</v>
      </c>
      <c r="D25" s="11">
        <f>D22+D23+D24</f>
        <v>235950000</v>
      </c>
      <c r="E25" s="9">
        <f>E22+E23+E24</f>
        <v>1</v>
      </c>
    </row>
    <row r="27" spans="2:5">
      <c r="B27" t="s">
        <v>27</v>
      </c>
      <c r="C27" s="12">
        <f>D25-C14</f>
        <v>0</v>
      </c>
      <c r="D27" t="str">
        <f>IF(ABS(C27)&lt;1,"일치","차이 있음")</f>
        <v>일치</v>
      </c>
    </row>
    <row r="29" spans="2:5">
      <c r="B29" s="2" t="s">
        <v>28</v>
      </c>
    </row>
    <row r="30" spans="2:5">
      <c r="B30" s="4" t="s">
        <v>29</v>
      </c>
      <c r="C30" s="13">
        <f>D22</f>
        <v>84267857.142857149</v>
      </c>
    </row>
    <row r="31" spans="2:5">
      <c r="B31" s="4" t="s">
        <v>30</v>
      </c>
      <c r="C31" s="13">
        <f>D23</f>
        <v>84267857.142857149</v>
      </c>
    </row>
    <row r="32" spans="2:5">
      <c r="B32" s="4" t="s">
        <v>31</v>
      </c>
      <c r="C32" s="13">
        <f>D24</f>
        <v>67414285.714285716</v>
      </c>
    </row>
    <row r="33" spans="2:3">
      <c r="B33" s="4" t="s">
        <v>32</v>
      </c>
      <c r="C33" s="14">
        <f>C30+C31+C32</f>
        <v>235950000</v>
      </c>
    </row>
  </sheetData>
  <mergeCells count="3">
    <mergeCell ref="B2:F2"/>
    <mergeCell ref="B3:F3"/>
    <mergeCell ref="B6:F10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workbookViewId="0"/>
  </sheetViews>
  <sheetFormatPr defaultRowHeight="17"/>
  <cols>
    <col min="2" max="2" width="24" customWidth="1"/>
    <col min="3" max="4" width="14" customWidth="1"/>
    <col min="5" max="5" width="16" customWidth="1"/>
    <col min="6" max="7" width="14" customWidth="1"/>
  </cols>
  <sheetData>
    <row r="2" spans="2:8" ht="21">
      <c r="B2" s="21" t="s">
        <v>33</v>
      </c>
      <c r="C2" s="18"/>
      <c r="D2" s="18"/>
      <c r="E2" s="18"/>
      <c r="F2" s="18"/>
      <c r="G2" s="18"/>
    </row>
    <row r="3" spans="2:8">
      <c r="B3" s="3" t="s">
        <v>34</v>
      </c>
      <c r="C3" s="3" t="s">
        <v>9</v>
      </c>
      <c r="D3" s="3" t="s">
        <v>11</v>
      </c>
      <c r="E3" s="3" t="s">
        <v>35</v>
      </c>
      <c r="F3" s="3" t="s">
        <v>36</v>
      </c>
      <c r="G3" s="3" t="s">
        <v>37</v>
      </c>
      <c r="H3" s="3" t="s">
        <v>32</v>
      </c>
    </row>
    <row r="4" spans="2:8">
      <c r="B4" s="4" t="s">
        <v>38</v>
      </c>
      <c r="C4" s="15">
        <v>1.1000000000000001</v>
      </c>
      <c r="D4" s="15">
        <v>0.2</v>
      </c>
      <c r="E4" s="13">
        <v>93630952</v>
      </c>
      <c r="F4" s="13">
        <v>102994048</v>
      </c>
      <c r="G4" s="13">
        <v>39325000</v>
      </c>
      <c r="H4" s="13">
        <v>235950000</v>
      </c>
    </row>
    <row r="5" spans="2:8">
      <c r="B5" s="4" t="s">
        <v>39</v>
      </c>
      <c r="C5" s="15">
        <v>1.1000000000000001</v>
      </c>
      <c r="D5" s="15">
        <v>0.3</v>
      </c>
      <c r="E5" s="13">
        <v>86428571</v>
      </c>
      <c r="F5" s="13">
        <v>95071429</v>
      </c>
      <c r="G5" s="13">
        <v>54450000</v>
      </c>
      <c r="H5" s="13">
        <v>235950000</v>
      </c>
    </row>
    <row r="6" spans="2:8">
      <c r="B6" s="4" t="s">
        <v>40</v>
      </c>
      <c r="C6" s="15">
        <v>1.1000000000000001</v>
      </c>
      <c r="D6" s="15">
        <v>0.4</v>
      </c>
      <c r="E6" s="13">
        <v>80255102</v>
      </c>
      <c r="F6" s="13">
        <v>88280612</v>
      </c>
      <c r="G6" s="13">
        <v>67414286</v>
      </c>
      <c r="H6" s="13">
        <v>235950000</v>
      </c>
    </row>
    <row r="7" spans="2:8">
      <c r="B7" s="16" t="s">
        <v>41</v>
      </c>
      <c r="C7" s="6">
        <v>1.1499999999999999</v>
      </c>
      <c r="D7" s="6">
        <v>0.3</v>
      </c>
      <c r="E7" s="5">
        <v>84418605</v>
      </c>
      <c r="F7" s="5">
        <v>97081395</v>
      </c>
      <c r="G7" s="5">
        <v>54450000</v>
      </c>
      <c r="H7" s="5">
        <v>235950000</v>
      </c>
    </row>
    <row r="8" spans="2:8">
      <c r="B8" s="4" t="s">
        <v>42</v>
      </c>
      <c r="C8" s="15">
        <v>1.1499999999999999</v>
      </c>
      <c r="D8" s="15">
        <v>0.4</v>
      </c>
      <c r="E8" s="13">
        <v>78388704</v>
      </c>
      <c r="F8" s="13">
        <v>90147010</v>
      </c>
      <c r="G8" s="13">
        <v>67414286</v>
      </c>
      <c r="H8" s="13">
        <v>235950000</v>
      </c>
    </row>
    <row r="9" spans="2:8">
      <c r="B9" s="4" t="s">
        <v>43</v>
      </c>
      <c r="C9" s="15">
        <v>1.2</v>
      </c>
      <c r="D9" s="15">
        <v>0.2</v>
      </c>
      <c r="E9" s="13">
        <v>89375000</v>
      </c>
      <c r="F9" s="13">
        <v>107250000</v>
      </c>
      <c r="G9" s="13">
        <v>39325000</v>
      </c>
      <c r="H9" s="13">
        <v>235950000</v>
      </c>
    </row>
    <row r="10" spans="2:8">
      <c r="B10" s="4" t="s">
        <v>44</v>
      </c>
      <c r="C10" s="15">
        <v>1.2</v>
      </c>
      <c r="D10" s="15">
        <v>0.3</v>
      </c>
      <c r="E10" s="13">
        <v>82500000</v>
      </c>
      <c r="F10" s="13">
        <v>99000000</v>
      </c>
      <c r="G10" s="13">
        <v>54450000</v>
      </c>
      <c r="H10" s="13">
        <v>235950000</v>
      </c>
    </row>
    <row r="11" spans="2:8">
      <c r="B11" s="4" t="s">
        <v>45</v>
      </c>
      <c r="C11" s="15">
        <v>1.2</v>
      </c>
      <c r="D11" s="15">
        <v>0.4</v>
      </c>
      <c r="E11" s="13">
        <v>76607143</v>
      </c>
      <c r="F11" s="13">
        <v>91928571</v>
      </c>
      <c r="G11" s="13">
        <v>67414286</v>
      </c>
      <c r="H11" s="13">
        <v>235950000</v>
      </c>
    </row>
    <row r="13" spans="2:8">
      <c r="B13" s="1" t="s">
        <v>46</v>
      </c>
    </row>
  </sheetData>
  <mergeCells count="1">
    <mergeCell ref="B2:G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Views>
    <sheetView workbookViewId="0"/>
  </sheetViews>
  <sheetFormatPr defaultRowHeight="17"/>
  <cols>
    <col min="2" max="3" width="16" customWidth="1"/>
    <col min="4" max="4" width="40" customWidth="1"/>
  </cols>
  <sheetData>
    <row r="2" spans="2:4" ht="21">
      <c r="B2" s="21" t="s">
        <v>47</v>
      </c>
      <c r="C2" s="18"/>
      <c r="D2" s="18"/>
    </row>
    <row r="4" spans="2:4">
      <c r="B4" s="3" t="s">
        <v>48</v>
      </c>
      <c r="C4" s="3" t="s">
        <v>49</v>
      </c>
      <c r="D4" s="3" t="s">
        <v>50</v>
      </c>
    </row>
    <row r="5" spans="2:4">
      <c r="B5" s="4" t="s">
        <v>29</v>
      </c>
      <c r="C5" s="13">
        <v>84418605</v>
      </c>
      <c r="D5" s="4" t="s">
        <v>20</v>
      </c>
    </row>
    <row r="6" spans="2:4">
      <c r="B6" s="4" t="s">
        <v>36</v>
      </c>
      <c r="C6" s="13">
        <v>97081395</v>
      </c>
      <c r="D6" s="4" t="s">
        <v>51</v>
      </c>
    </row>
    <row r="7" spans="2:4">
      <c r="B7" s="4" t="s">
        <v>37</v>
      </c>
      <c r="C7" s="13">
        <v>54450000</v>
      </c>
      <c r="D7" s="4" t="s">
        <v>52</v>
      </c>
    </row>
    <row r="8" spans="2:4">
      <c r="B8" s="10" t="s">
        <v>32</v>
      </c>
      <c r="C8" s="11">
        <v>235950000</v>
      </c>
      <c r="D8" s="10" t="s">
        <v>53</v>
      </c>
    </row>
    <row r="10" spans="2:4">
      <c r="B10" t="s">
        <v>54</v>
      </c>
    </row>
    <row r="11" spans="2:4">
      <c r="B11" t="s">
        <v>55</v>
      </c>
    </row>
    <row r="12" spans="2:4">
      <c r="B12" t="s">
        <v>56</v>
      </c>
    </row>
    <row r="14" spans="2:4">
      <c r="B14" t="s">
        <v>57</v>
      </c>
    </row>
    <row r="15" spans="2:4">
      <c r="B15" t="s">
        <v>58</v>
      </c>
    </row>
    <row r="16" spans="2:4">
      <c r="B16" t="s">
        <v>59</v>
      </c>
    </row>
  </sheetData>
  <mergeCells count="1">
    <mergeCell ref="B2:D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대가산출</vt:lpstr>
      <vt:lpstr>요율시나리오</vt:lpstr>
      <vt:lpstr>추천안_상세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2026-07-28T13:09:41Z</dcterms:created>
  <dcterms:modified xsi:type="dcterms:W3CDTF">2026-07-28T04:19:08Z</dcterms:modified>
</cp:coreProperties>
</file>